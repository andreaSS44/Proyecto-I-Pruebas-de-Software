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Traza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87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3876"/>
      </patternFill>
    </fill>
  </fills>
  <borders count="2">
    <border>
      <left/>
      <right/>
      <top/>
      <bottom/>
      <diagonal/>
    </border>
    <border>
      <left style="thin">
        <color rgb="00D5DBE6"/>
      </left>
      <right style="thin">
        <color rgb="00D5DBE6"/>
      </right>
      <top style="thin">
        <color rgb="00D5DBE6"/>
      </top>
      <bottom style="thin">
        <color rgb="00D5DB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casos de prueba - ISW-622 - Proyecto Demo Web Shop</t>
        </is>
      </c>
    </row>
    <row r="3">
      <c r="A3" t="inlineStr">
        <is>
          <t>Grupo: ______  Integrantes: ______________________</t>
        </is>
      </c>
    </row>
    <row r="5">
      <c r="A5" t="inlineStr">
        <is>
          <t>1. Complete la hoja 'Casos de prueba' (minimo 30 casos).</t>
        </is>
      </c>
    </row>
    <row r="6">
      <c r="A6" t="inlineStr">
        <is>
          <t>2. Cada caso: ID (CP-001...), requerimiento (RF-01...RF-11), titulo, tipo, prioridad, precondiciones, datos, pasos, resultado esperado y si es automatizable.</t>
        </is>
      </c>
    </row>
    <row r="7">
      <c r="A7" t="inlineStr">
        <is>
          <t>3. Cubra obligatoriamente RF-01, RF-02, RF-03, RF-05 y RF-09 y al menos dos requerimientos mas.</t>
        </is>
      </c>
    </row>
    <row r="8">
      <c r="A8" t="inlineStr">
        <is>
          <t>4. Al menos 30% de los casos deben ser Negativo o Limite.</t>
        </is>
      </c>
    </row>
    <row r="9">
      <c r="A9" t="inlineStr">
        <is>
          <t>5. Revise la hoja 'Trazabilidad': muestra cuantos casos hay por requerimiento (se calcula sola).</t>
        </is>
      </c>
    </row>
    <row r="10">
      <c r="A10" t="inlineStr">
        <is>
          <t>6. Las filas de ejemplo (CP-001, CP-002) puede borrarlas o reemplazarlas; verifique el comportamiento real del sitio antes de definir el resultado esperado.</t>
        </is>
      </c>
    </row>
    <row r="11">
      <c r="A11" t="inlineStr">
        <is>
          <t>7. El ID del caso debe aparecer en el @DisplayName de la prueba automatizada.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12" customWidth="1" min="4" max="4"/>
    <col width="11" customWidth="1" min="5" max="5"/>
    <col width="24" customWidth="1" min="6" max="6"/>
    <col width="30" customWidth="1" min="7" max="7"/>
    <col width="46" customWidth="1" min="8" max="8"/>
    <col width="42" customWidth="1" min="9" max="9"/>
    <col width="14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Requerimiento</t>
        </is>
      </c>
      <c r="C1" s="2" t="inlineStr">
        <is>
          <t>Titulo</t>
        </is>
      </c>
      <c r="D1" s="2" t="inlineStr">
        <is>
          <t>Tipo</t>
        </is>
      </c>
      <c r="E1" s="2" t="inlineStr">
        <is>
          <t>Prioridad</t>
        </is>
      </c>
      <c r="F1" s="2" t="inlineStr">
        <is>
          <t>Precondiciones</t>
        </is>
      </c>
      <c r="G1" s="2" t="inlineStr">
        <is>
          <t>Datos de prueba</t>
        </is>
      </c>
      <c r="H1" s="2" t="inlineStr">
        <is>
          <t>Pasos</t>
        </is>
      </c>
      <c r="I1" s="2" t="inlineStr">
        <is>
          <t>Resultado esperado</t>
        </is>
      </c>
      <c r="J1" s="2" t="inlineStr">
        <is>
          <t>Automatizable</t>
        </is>
      </c>
      <c r="K1" s="2" t="inlineStr">
        <is>
          <t>Estado</t>
        </is>
      </c>
    </row>
    <row r="2">
      <c r="A2" s="3" t="inlineStr">
        <is>
          <t>CP-001</t>
        </is>
      </c>
      <c r="B2" s="3" t="inlineStr">
        <is>
          <t>RF-01</t>
        </is>
      </c>
      <c r="C2" s="3" t="inlineStr">
        <is>
          <t>Registro exitoso con datos validos</t>
        </is>
      </c>
      <c r="D2" s="3" t="inlineStr">
        <is>
          <t>Positivo</t>
        </is>
      </c>
      <c r="E2" s="3" t="inlineStr">
        <is>
          <t>Alta</t>
        </is>
      </c>
      <c r="F2" s="3" t="inlineStr">
        <is>
          <t>Visitante sin sesion iniciada en https://demowebshop.tricentis.com</t>
        </is>
      </c>
      <c r="G2" s="3" t="inlineStr">
        <is>
          <t>Genero: Female
Nombre: Prueba
Apellido: Uno
Correo: p1_&lt;hora_ms&gt;@test.com
Clave: Test123
Confirmacion: Test123</t>
        </is>
      </c>
      <c r="H2" s="3" t="inlineStr">
        <is>
          <t>1. Abrir la pagina de inicio
2. Clic en Register
3. Seleccionar el genero
4. Ingresar nombre, apellido y correo
5. Ingresar clave y confirmacion
6. Clic en Register</t>
        </is>
      </c>
      <c r="I2" s="3" t="inlineStr">
        <is>
          <t>Se muestra el mensaje 'Your registration completed' y el encabezado muestra el correo del usuario y la opcion Log out</t>
        </is>
      </c>
      <c r="J2" s="3" t="inlineStr">
        <is>
          <t>Si</t>
        </is>
      </c>
      <c r="K2" s="3" t="inlineStr">
        <is>
          <t>Pendiente</t>
        </is>
      </c>
    </row>
    <row r="3">
      <c r="A3" s="3" t="inlineStr">
        <is>
          <t>CP-002</t>
        </is>
      </c>
      <c r="B3" s="3" t="inlineStr">
        <is>
          <t>RF-01</t>
        </is>
      </c>
      <c r="C3" s="3" t="inlineStr">
        <is>
          <t>Registro con campos obligatorios vacios</t>
        </is>
      </c>
      <c r="D3" s="3" t="inlineStr">
        <is>
          <t>Negativo</t>
        </is>
      </c>
      <c r="E3" s="3" t="inlineStr">
        <is>
          <t>Alta</t>
        </is>
      </c>
      <c r="F3" s="3" t="inlineStr">
        <is>
          <t>Visitante sin sesion iniciada</t>
        </is>
      </c>
      <c r="G3" s="3" t="inlineStr">
        <is>
          <t>Todos los campos vacios</t>
        </is>
      </c>
      <c r="H3" s="3" t="inlineStr">
        <is>
          <t>1. Abrir la pagina de inicio
2. Clic en Register
3. Dejar todos los campos vacios
4. Clic en Register</t>
        </is>
      </c>
      <c r="I3" s="3" t="inlineStr">
        <is>
          <t>No se crea la cuenta y se muestran los mensajes: 'First name is required.', 'Last name is required.', 'Email is required.' y 'Password is required.' (en Password y Confirm password)</t>
        </is>
      </c>
      <c r="J3" s="3" t="inlineStr">
        <is>
          <t>Si</t>
        </is>
      </c>
      <c r="K3" s="3" t="inlineStr">
        <is>
          <t>Pendiente</t>
        </is>
      </c>
    </row>
    <row r="4">
      <c r="A4" s="3" t="inlineStr">
        <is>
          <t>CP-003</t>
        </is>
      </c>
      <c r="B4" s="3" t="inlineStr">
        <is>
          <t>RF-01</t>
        </is>
      </c>
      <c r="C4" s="3" t="inlineStr">
        <is>
          <t>Registro con correo de formato invalido</t>
        </is>
      </c>
      <c r="D4" s="3" t="inlineStr">
        <is>
          <t>Negativo</t>
        </is>
      </c>
      <c r="E4" s="3" t="inlineStr">
        <is>
          <t>Media</t>
        </is>
      </c>
      <c r="F4" s="3" t="inlineStr">
        <is>
          <t>Visitante sin sesion iniciada</t>
        </is>
      </c>
      <c r="G4" s="3" t="inlineStr">
        <is>
          <t>Nombre: Prueba
Apellido: Uno
Correo: abc@test (tambien abc, abc@, @test.com)
Clave: Test123
Confirmacion: Test123</t>
        </is>
      </c>
      <c r="H4" s="3" t="inlineStr">
        <is>
          <t>1. Abrir la pagina Register
2. Ingresar nombre y apellido
3. Ingresar el correo invalido
4. Ingresar clave y confirmacion
5. Clic en Register</t>
        </is>
      </c>
      <c r="I4" s="3" t="inlineStr">
        <is>
          <t>No se crea la cuenta y junto al campo Email se muestra 'Wrong email'</t>
        </is>
      </c>
      <c r="J4" s="3" t="inlineStr">
        <is>
          <t>No</t>
        </is>
      </c>
      <c r="K4" s="3" t="inlineStr">
        <is>
          <t>Pendiente</t>
        </is>
      </c>
    </row>
    <row r="5">
      <c r="A5" s="3" t="inlineStr">
        <is>
          <t>CP-004</t>
        </is>
      </c>
      <c r="B5" s="3" t="inlineStr">
        <is>
          <t>RF-01</t>
        </is>
      </c>
      <c r="C5" s="3" t="inlineStr">
        <is>
          <t>Registro con correo ya registrado</t>
        </is>
      </c>
      <c r="D5" s="3" t="inlineStr">
        <is>
          <t>Negativo</t>
        </is>
      </c>
      <c r="E5" s="3" t="inlineStr">
        <is>
          <t>Alta</t>
        </is>
      </c>
      <c r="F5" s="3" t="inlineStr">
        <is>
          <t>Usuario registrado previamente con correo unico (p1_&lt;hora_ms&gt;@test.com) y clave Test123; sesion cerrada</t>
        </is>
      </c>
      <c r="G5" s="3" t="inlineStr">
        <is>
          <t>Nombre: Prueba
Apellido: Dos
Correo: el mismo del usuario ya registrado
Clave: Test123
Confirmacion: Test123</t>
        </is>
      </c>
      <c r="H5" s="3" t="inlineStr">
        <is>
          <t>1. Abrir la pagina Register
2. Ingresar nombre y apellido
3. Ingresar el correo ya registrado
4. Ingresar clave y confirmacion
5. Clic en Register</t>
        </is>
      </c>
      <c r="I5" s="3" t="inlineStr">
        <is>
          <t>No se crea la cuenta y se muestra el mensaje 'The specified email already exists'</t>
        </is>
      </c>
      <c r="J5" s="3" t="inlineStr">
        <is>
          <t>No</t>
        </is>
      </c>
      <c r="K5" s="3" t="inlineStr">
        <is>
          <t>Pendiente</t>
        </is>
      </c>
    </row>
    <row r="6">
      <c r="A6" s="3" t="inlineStr">
        <is>
          <t>CP-005</t>
        </is>
      </c>
      <c r="B6" s="3" t="inlineStr">
        <is>
          <t>RF-01</t>
        </is>
      </c>
      <c r="C6" s="3" t="inlineStr">
        <is>
          <t>Clave con un caracter menos del minimo (5)</t>
        </is>
      </c>
      <c r="D6" s="3" t="inlineStr">
        <is>
          <t>Limite</t>
        </is>
      </c>
      <c r="E6" s="3" t="inlineStr">
        <is>
          <t>Media</t>
        </is>
      </c>
      <c r="F6" s="3" t="inlineStr">
        <is>
          <t>Visitante sin sesion iniciada</t>
        </is>
      </c>
      <c r="G6" s="3" t="inlineStr">
        <is>
          <t>Nombre: Prueba
Apellido: Uno
Correo: p1_&lt;hora_ms&gt;@test.com
Clave: Test1 (5 caracteres)
Confirmacion: Test1</t>
        </is>
      </c>
      <c r="H6" s="3" t="inlineStr">
        <is>
          <t>1. Abrir la pagina Register
2. Ingresar nombre, apellido y correo
3. Ingresar clave y confirmacion de 5 caracteres
4. Clic en Register</t>
        </is>
      </c>
      <c r="I6" s="3" t="inlineStr">
        <is>
          <t>No se crea la cuenta y junto al campo Password se muestra 'The password should have at least 6 characters.'</t>
        </is>
      </c>
      <c r="J6" s="3" t="inlineStr">
        <is>
          <t>No</t>
        </is>
      </c>
      <c r="K6" s="3" t="inlineStr">
        <is>
          <t>Pendiente</t>
        </is>
      </c>
    </row>
    <row r="7">
      <c r="A7" s="3" t="inlineStr">
        <is>
          <t>CP-006</t>
        </is>
      </c>
      <c r="B7" s="3" t="inlineStr">
        <is>
          <t>RF-01</t>
        </is>
      </c>
      <c r="C7" s="3" t="inlineStr">
        <is>
          <t>Clave y confirmacion no coinciden</t>
        </is>
      </c>
      <c r="D7" s="3" t="inlineStr">
        <is>
          <t>Negativo</t>
        </is>
      </c>
      <c r="E7" s="3" t="inlineStr">
        <is>
          <t>Media</t>
        </is>
      </c>
      <c r="F7" s="3" t="inlineStr">
        <is>
          <t>Visitante sin sesion iniciada</t>
        </is>
      </c>
      <c r="G7" s="3" t="inlineStr">
        <is>
          <t>Nombre: Prueba
Apellido: Uno
Correo: p1_&lt;hora_ms&gt;@test.com
Clave: Test123
Confirmacion: Test456</t>
        </is>
      </c>
      <c r="H7" s="3" t="inlineStr">
        <is>
          <t>1. Abrir la pagina Register
2. Ingresar nombre, apellido y correo
3. Ingresar clave Test123
4. Ingresar confirmacion Test456
5. Clic en Register</t>
        </is>
      </c>
      <c r="I7" s="3" t="inlineStr">
        <is>
          <t>No se crea la cuenta y junto a Confirm password se muestra 'The password and confirmation password do not match.'</t>
        </is>
      </c>
      <c r="J7" s="3" t="inlineStr">
        <is>
          <t>No</t>
        </is>
      </c>
      <c r="K7" s="3" t="inlineStr">
        <is>
          <t>Pendiente</t>
        </is>
      </c>
    </row>
    <row r="8">
      <c r="A8" s="3" t="inlineStr">
        <is>
          <t>CP-007</t>
        </is>
      </c>
      <c r="B8" s="3" t="inlineStr">
        <is>
          <t>RF-02</t>
        </is>
      </c>
      <c r="C8" s="3" t="inlineStr">
        <is>
          <t>Inicio de sesion valido y cierre de sesion</t>
        </is>
      </c>
      <c r="D8" s="3" t="inlineStr">
        <is>
          <t>Positivo</t>
        </is>
      </c>
      <c r="E8" s="3" t="inlineStr">
        <is>
          <t>Alta</t>
        </is>
      </c>
      <c r="F8" s="3" t="inlineStr">
        <is>
          <t>Usuario registrado previamente con correo unico (p1_&lt;hora_ms&gt;@test.com) y clave Test123; sesion cerrada</t>
        </is>
      </c>
      <c r="G8" s="3" t="inlineStr">
        <is>
          <t>Correo y clave del usuario registrado</t>
        </is>
      </c>
      <c r="H8" s="3" t="inlineStr">
        <is>
          <t>1. Abrir la pagina de inicio
2. Clic en Log in
3. Ingresar correo y clave
4. Clic en Log in
5. Verificar el encabezado
6. Clic en Log out</t>
        </is>
      </c>
      <c r="I8" s="3" t="inlineStr">
        <is>
          <t>Tras iniciar sesion el encabezado muestra el correo del usuario y Log out. Tras cerrar sesion vuelven a mostrarse Register y Log in</t>
        </is>
      </c>
      <c r="J8" s="3" t="inlineStr">
        <is>
          <t>Si</t>
        </is>
      </c>
      <c r="K8" s="3" t="inlineStr">
        <is>
          <t>Pendiente</t>
        </is>
      </c>
    </row>
    <row r="9">
      <c r="A9" s="3" t="inlineStr">
        <is>
          <t>CP-008</t>
        </is>
      </c>
      <c r="B9" s="3" t="inlineStr">
        <is>
          <t>RF-02</t>
        </is>
      </c>
      <c r="C9" s="3" t="inlineStr">
        <is>
          <t>Inicio de sesion con clave incorrecta</t>
        </is>
      </c>
      <c r="D9" s="3" t="inlineStr">
        <is>
          <t>Negativo</t>
        </is>
      </c>
      <c r="E9" s="3" t="inlineStr">
        <is>
          <t>Alta</t>
        </is>
      </c>
      <c r="F9" s="3" t="inlineStr">
        <is>
          <t>Usuario registrado previamente con correo unico (p1_&lt;hora_ms&gt;@test.com) y clave Test123; sesion cerrada</t>
        </is>
      </c>
      <c r="G9" s="3" t="inlineStr">
        <is>
          <t>Correo del usuario registrado
Clave: Incorrecta1</t>
        </is>
      </c>
      <c r="H9" s="3" t="inlineStr">
        <is>
          <t>1. Abrir la pagina Log in
2. Ingresar el correo registrado
3. Ingresar una clave incorrecta
4. Clic en Log in</t>
        </is>
      </c>
      <c r="I9" s="3" t="inlineStr">
        <is>
          <t>No se inicia sesion y se muestra 'Login was unsuccessful. Please correct the errors and try again.' con el detalle 'The credentials provided are incorrect'; el encabezado sigue mostrando Register y Log in</t>
        </is>
      </c>
      <c r="J9" s="3" t="inlineStr">
        <is>
          <t>Si</t>
        </is>
      </c>
      <c r="K9" s="3" t="inlineStr">
        <is>
          <t>Pendiente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</sheetData>
  <dataValidations count="5">
    <dataValidation sqref="B2:B101" showDropDown="0" showInputMessage="0" showErrorMessage="0" allowBlank="1" type="list">
      <formula1>"RF-01,RF-02,RF-03,RF-04,RF-05,RF-06,RF-07,RF-08,RF-09,RF-10,RF-11"</formula1>
    </dataValidation>
    <dataValidation sqref="D2:D101" showDropDown="0" showInputMessage="0" showErrorMessage="0" allowBlank="1" type="list">
      <formula1>"Positivo,Negativo,Limite"</formula1>
    </dataValidation>
    <dataValidation sqref="E2:E101" showDropDown="0" showInputMessage="0" showErrorMessage="0" allowBlank="1" type="list">
      <formula1>"Alta,Media,Baja"</formula1>
    </dataValidation>
    <dataValidation sqref="J2:J101" showDropDown="0" showInputMessage="0" showErrorMessage="0" allowBlank="1" type="list">
      <formula1>"Si,No"</formula1>
    </dataValidation>
    <dataValidation sqref="K2:K101" showDropDown="0" showInputMessage="0" showErrorMessage="0" allowBlank="1" type="list">
      <formula1>"Pendiente,Pasa,Falla,Bloqueado"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4" customWidth="1" min="5" max="5"/>
  </cols>
  <sheetData>
    <row r="1">
      <c r="A1" s="2" t="inlineStr">
        <is>
          <t>Requerimiento</t>
        </is>
      </c>
      <c r="B1" s="2" t="inlineStr">
        <is>
          <t>Descripcion</t>
        </is>
      </c>
      <c r="C1" s="2" t="inlineStr">
        <is>
          <t>Casos escritos</t>
        </is>
      </c>
      <c r="D1" s="2" t="inlineStr">
        <is>
          <t>Automatizables</t>
        </is>
      </c>
      <c r="E1" s="2" t="inlineStr">
        <is>
          <t>Obligatorio</t>
        </is>
      </c>
    </row>
    <row r="2">
      <c r="A2" s="4" t="inlineStr">
        <is>
          <t>RF-01</t>
        </is>
      </c>
      <c r="B2" s="4" t="inlineStr">
        <is>
          <t>Registro de usuario</t>
        </is>
      </c>
      <c r="C2" s="4">
        <f>COUNTIF('Casos de prueba'!$B$2:$B$101,A2)</f>
        <v/>
      </c>
      <c r="D2" s="4">
        <f>COUNTIFS('Casos de prueba'!$B$2:$B$101,A2,'Casos de prueba'!$J$2:$J$101,"Si")</f>
        <v/>
      </c>
      <c r="E2" s="4" t="inlineStr">
        <is>
          <t>Si</t>
        </is>
      </c>
    </row>
    <row r="3">
      <c r="A3" s="4" t="inlineStr">
        <is>
          <t>RF-02</t>
        </is>
      </c>
      <c r="B3" s="4" t="inlineStr">
        <is>
          <t>Inicio y cierre de sesion</t>
        </is>
      </c>
      <c r="C3" s="4">
        <f>COUNTIF('Casos de prueba'!$B$2:$B$101,A3)</f>
        <v/>
      </c>
      <c r="D3" s="4">
        <f>COUNTIFS('Casos de prueba'!$B$2:$B$101,A3,'Casos de prueba'!$J$2:$J$101,"Si")</f>
        <v/>
      </c>
      <c r="E3" s="4" t="inlineStr">
        <is>
          <t>Si</t>
        </is>
      </c>
    </row>
    <row r="4">
      <c r="A4" s="4" t="inlineStr">
        <is>
          <t>RF-03</t>
        </is>
      </c>
      <c r="B4" s="4" t="inlineStr">
        <is>
          <t>Busqueda de productos</t>
        </is>
      </c>
      <c r="C4" s="4">
        <f>COUNTIF('Casos de prueba'!$B$2:$B$101,A4)</f>
        <v/>
      </c>
      <c r="D4" s="4">
        <f>COUNTIFS('Casos de prueba'!$B$2:$B$101,A4,'Casos de prueba'!$J$2:$J$101,"Si")</f>
        <v/>
      </c>
      <c r="E4" s="4" t="inlineStr">
        <is>
          <t>Si</t>
        </is>
      </c>
    </row>
    <row r="5">
      <c r="A5" s="4" t="inlineStr">
        <is>
          <t>RF-04</t>
        </is>
      </c>
      <c r="B5" s="4" t="inlineStr">
        <is>
          <t>Catalogo</t>
        </is>
      </c>
      <c r="C5" s="4">
        <f>COUNTIF('Casos de prueba'!$B$2:$B$101,A5)</f>
        <v/>
      </c>
      <c r="D5" s="4">
        <f>COUNTIFS('Casos de prueba'!$B$2:$B$101,A5,'Casos de prueba'!$J$2:$J$101,"Si")</f>
        <v/>
      </c>
      <c r="E5" s="4" t="inlineStr">
        <is>
          <t>No</t>
        </is>
      </c>
    </row>
    <row r="6">
      <c r="A6" s="4" t="inlineStr">
        <is>
          <t>RF-05</t>
        </is>
      </c>
      <c r="B6" s="4" t="inlineStr">
        <is>
          <t>Carrito de compras</t>
        </is>
      </c>
      <c r="C6" s="4">
        <f>COUNTIF('Casos de prueba'!$B$2:$B$101,A6)</f>
        <v/>
      </c>
      <c r="D6" s="4">
        <f>COUNTIFS('Casos de prueba'!$B$2:$B$101,A6,'Casos de prueba'!$J$2:$J$101,"Si")</f>
        <v/>
      </c>
      <c r="E6" s="4" t="inlineStr">
        <is>
          <t>Si</t>
        </is>
      </c>
    </row>
    <row r="7">
      <c r="A7" s="4" t="inlineStr">
        <is>
          <t>RF-06</t>
        </is>
      </c>
      <c r="B7" s="4" t="inlineStr">
        <is>
          <t>Productos con opciones</t>
        </is>
      </c>
      <c r="C7" s="4">
        <f>COUNTIF('Casos de prueba'!$B$2:$B$101,A7)</f>
        <v/>
      </c>
      <c r="D7" s="4">
        <f>COUNTIFS('Casos de prueba'!$B$2:$B$101,A7,'Casos de prueba'!$J$2:$J$101,"Si")</f>
        <v/>
      </c>
      <c r="E7" s="4" t="inlineStr">
        <is>
          <t>No</t>
        </is>
      </c>
    </row>
    <row r="8">
      <c r="A8" s="4" t="inlineStr">
        <is>
          <t>RF-07</t>
        </is>
      </c>
      <c r="B8" s="4" t="inlineStr">
        <is>
          <t>Lista de deseos</t>
        </is>
      </c>
      <c r="C8" s="4">
        <f>COUNTIF('Casos de prueba'!$B$2:$B$101,A8)</f>
        <v/>
      </c>
      <c r="D8" s="4">
        <f>COUNTIFS('Casos de prueba'!$B$2:$B$101,A8,'Casos de prueba'!$J$2:$J$101,"Si")</f>
        <v/>
      </c>
      <c r="E8" s="4" t="inlineStr">
        <is>
          <t>No</t>
        </is>
      </c>
    </row>
    <row r="9">
      <c r="A9" s="4" t="inlineStr">
        <is>
          <t>RF-08</t>
        </is>
      </c>
      <c r="B9" s="4" t="inlineStr">
        <is>
          <t>Comparacion de productos</t>
        </is>
      </c>
      <c r="C9" s="4">
        <f>COUNTIF('Casos de prueba'!$B$2:$B$101,A9)</f>
        <v/>
      </c>
      <c r="D9" s="4">
        <f>COUNTIFS('Casos de prueba'!$B$2:$B$101,A9,'Casos de prueba'!$J$2:$J$101,"Si")</f>
        <v/>
      </c>
      <c r="E9" s="4" t="inlineStr">
        <is>
          <t>No</t>
        </is>
      </c>
    </row>
    <row r="10">
      <c r="A10" s="4" t="inlineStr">
        <is>
          <t>RF-09</t>
        </is>
      </c>
      <c r="B10" s="4" t="inlineStr">
        <is>
          <t>Proceso de compra</t>
        </is>
      </c>
      <c r="C10" s="4">
        <f>COUNTIF('Casos de prueba'!$B$2:$B$101,A10)</f>
        <v/>
      </c>
      <c r="D10" s="4">
        <f>COUNTIFS('Casos de prueba'!$B$2:$B$101,A10,'Casos de prueba'!$J$2:$J$101,"Si")</f>
        <v/>
      </c>
      <c r="E10" s="4" t="inlineStr">
        <is>
          <t>Si</t>
        </is>
      </c>
    </row>
    <row r="11">
      <c r="A11" s="4" t="inlineStr">
        <is>
          <t>RF-10</t>
        </is>
      </c>
      <c r="B11" s="4" t="inlineStr">
        <is>
          <t>Cuenta del usuario</t>
        </is>
      </c>
      <c r="C11" s="4">
        <f>COUNTIF('Casos de prueba'!$B$2:$B$101,A11)</f>
        <v/>
      </c>
      <c r="D11" s="4">
        <f>COUNTIFS('Casos de prueba'!$B$2:$B$101,A11,'Casos de prueba'!$J$2:$J$101,"Si")</f>
        <v/>
      </c>
      <c r="E11" s="4" t="inlineStr">
        <is>
          <t>No</t>
        </is>
      </c>
    </row>
    <row r="12">
      <c r="A12" s="4" t="inlineStr">
        <is>
          <t>RF-11</t>
        </is>
      </c>
      <c r="B12" s="4" t="inlineStr">
        <is>
          <t>Boletin y encuesta</t>
        </is>
      </c>
      <c r="C12" s="4">
        <f>COUNTIF('Casos de prueba'!$B$2:$B$101,A12)</f>
        <v/>
      </c>
      <c r="D12" s="4">
        <f>COUNTIFS('Casos de prueba'!$B$2:$B$101,A12,'Casos de prueba'!$J$2:$J$101,"Si")</f>
        <v/>
      </c>
      <c r="E12" s="4" t="inlineStr">
        <is>
          <t>No</t>
        </is>
      </c>
    </row>
    <row r="14">
      <c r="B14" s="5" t="inlineStr">
        <is>
          <t>Total de casos</t>
        </is>
      </c>
      <c r="C14">
        <f>SUM(C2:C12)</f>
        <v/>
      </c>
      <c r="D14">
        <f>SUM(D2:D12)</f>
        <v/>
      </c>
    </row>
    <row r="15">
      <c r="B15" s="5" t="inlineStr">
        <is>
          <t>Negativos o limite</t>
        </is>
      </c>
      <c r="C15">
        <f>COUNTIF('Casos de prueba'!$D$2:$D$101,"Negativo")+COUNTIF('Casos de prueba'!$D$2:$D$101,"Limite")</f>
        <v/>
      </c>
    </row>
    <row r="16">
      <c r="B16" s="5" t="inlineStr">
        <is>
          <t>% negativos o limite (min 30%)</t>
        </is>
      </c>
      <c r="C16" s="6">
        <f>IF(C14=0,0,C15/C14)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2026-10-26T15:18:43Z</dcterms:created>
  <dcterms:modified xmlns:dcterms="http://purl.org/dc/terms/" xmlns:xsi="http://www.w3.org/2001/XMLSchema-instance" xsi:type="dcterms:W3CDTF">2026-10-28T23:26:21Z</dcterms:modified>
</cp:coreProperties>
</file>